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udit Checklist" sheetId="1" state="visible" r:id="rId3"/>
    <sheet name="Audit Summary" sheetId="2" state="visible" r:id="rId4"/>
  </sheets>
  <definedNames>
    <definedName function="false" hidden="false" localSheetId="0" name="_xlnm.Print_Titles" vbProcedure="false">'Audit Checklist'!$1:$4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<sst xmlns="http://schemas.openxmlformats.org/spreadsheetml/2006/main" count="177" uniqueCount="118">
  <si>
    <t xml:space="preserve">Vantage Cloud Solutions — Internal Audit Checklist</t>
  </si>
  <si>
    <t xml:space="preserve">Scope: SOC 2 Type II + ISO 27001 (NIST 800-53 baseline) | Audit Date: 2026-06-21 | Auditor: Kevin Liao</t>
  </si>
  <si>
    <t xml:space="preserve">#</t>
  </si>
  <si>
    <t xml:space="preserve">Control</t>
  </si>
  <si>
    <t xml:space="preserve">Category</t>
  </si>
  <si>
    <t xml:space="preserve">Framework Mapping</t>
  </si>
  <si>
    <t xml:space="preserve">Status</t>
  </si>
  <si>
    <t xml:space="preserve">Evidence Reviewed</t>
  </si>
  <si>
    <t xml:space="preserve">Finding ID</t>
  </si>
  <si>
    <t xml:space="preserve">Severity</t>
  </si>
  <si>
    <t xml:space="preserve">Remediation</t>
  </si>
  <si>
    <t xml:space="preserve">Owner</t>
  </si>
  <si>
    <t xml:space="preserve">Due Date</t>
  </si>
  <si>
    <t xml:space="preserve">Multi-Factor Authentication Enforcement</t>
  </si>
  <si>
    <t xml:space="preserve">Access Control</t>
  </si>
  <si>
    <t xml:space="preserve">NIST IA-2, IA-5 | SOC 2 CC6.1 | ISO A.5.17, A.8.5</t>
  </si>
  <si>
    <t xml:space="preserve">Partially Implemented</t>
  </si>
  <si>
    <t xml:space="preserve">IAM console screenshot shows MFA enabled for all engineering staff, but sales and customer success teams (12 users) authenticate via SSO without MFA enforced at the identity provider level.</t>
  </si>
  <si>
    <t xml:space="preserve">F-06</t>
  </si>
  <si>
    <t xml:space="preserve">High</t>
  </si>
  <si>
    <t xml:space="preserve">Enforce MFA at the identity provider level for all user populations, not just engineering.</t>
  </si>
  <si>
    <t xml:space="preserve">IT Administrator</t>
  </si>
  <si>
    <t xml:space="preserve">2026-07-15</t>
  </si>
  <si>
    <t xml:space="preserve">User Access Provisioning &amp; Deprovisioning</t>
  </si>
  <si>
    <t xml:space="preserve">NIST AC-2 | SOC 2 CC6.2, CC6.3 | ISO A.5.18</t>
  </si>
  <si>
    <t xml:space="preserve">Non-Compliant</t>
  </si>
  <si>
    <t xml:space="preserve">Offboarding ticket sample (5 of 5 reviewed) shows access revocation completed 3-9 days after termination date, not same-day; no documented SLA exists for revocation timing.</t>
  </si>
  <si>
    <t xml:space="preserve">F-05</t>
  </si>
  <si>
    <t xml:space="preserve">Document a same-day access revocation SLA and automate deprovisioning via HRIS-to-IAM integration where possible.</t>
  </si>
  <si>
    <t xml:space="preserve">2026-07-10</t>
  </si>
  <si>
    <t xml:space="preserve">Least Privilege / Role-Based Access Control</t>
  </si>
  <si>
    <t xml:space="preserve">NIST AC-6 | SOC 2 CC6.1, CC6.3 | ISO A.8.2, A.8.3</t>
  </si>
  <si>
    <t xml:space="preserve">Compliant</t>
  </si>
  <si>
    <t xml:space="preserve">IAM policy export shows scoped, role-specific permissions; no standing AdministratorAccess grants found outside the two-person platform team, consistent with documented access tiers.</t>
  </si>
  <si>
    <t xml:space="preserve">—</t>
  </si>
  <si>
    <t xml:space="preserve">Maintain current practice; re-verify at next audit cycle.</t>
  </si>
  <si>
    <t xml:space="preserve">Engineering Lead</t>
  </si>
  <si>
    <t xml:space="preserve">Encryption of Data at Rest and in Transit</t>
  </si>
  <si>
    <t xml:space="preserve">Data Protection</t>
  </si>
  <si>
    <t xml:space="preserve">NIST SC-8, SC-28 | SOC 2 CC6.1, CC6.7 | ISO A.8.24</t>
  </si>
  <si>
    <t xml:space="preserve">Database and storage configuration confirms encryption at rest (AES-256); TLS 1.2+ enforced on all customer-facing endpoints per load balancer configuration export.</t>
  </si>
  <si>
    <t xml:space="preserve">Security Event Logging &amp; Monitoring</t>
  </si>
  <si>
    <t xml:space="preserve">System Operations</t>
  </si>
  <si>
    <t xml:space="preserve">NIST AU-2, AU-6 | SOC 2 CC7.1, CC7.2 | ISO A.8.15, A.8.16</t>
  </si>
  <si>
    <t xml:space="preserve">Centralized logging is enabled and retained for 90 days, but no documented process exists for who reviews alerts or how often; sampled week showed 0 documented alert reviews.</t>
  </si>
  <si>
    <t xml:space="preserve">F-08</t>
  </si>
  <si>
    <t xml:space="preserve">Medium</t>
  </si>
  <si>
    <t xml:space="preserve">Document a log review cadence (e.g., weekly) and assign named ownership for alert triage.</t>
  </si>
  <si>
    <t xml:space="preserve">Security/Compliance Lead</t>
  </si>
  <si>
    <t xml:space="preserve">2026-08-01</t>
  </si>
  <si>
    <t xml:space="preserve">Vulnerability / Patch Management</t>
  </si>
  <si>
    <t xml:space="preserve">NIST RA-5, SI-2 | SOC 2 CC7.1 | ISO A.8.8</t>
  </si>
  <si>
    <t xml:space="preserve">Most recent vulnerability scan is 7 months old; no documented remediation SLA by severity; 2 of 14 sampled production hosts running OS versions past vendor end-of-support.</t>
  </si>
  <si>
    <t xml:space="preserve">F-02</t>
  </si>
  <si>
    <t xml:space="preserve">Critical</t>
  </si>
  <si>
    <t xml:space="preserve">Resume monthly vulnerability scanning immediately; patch or decommission end-of-support hosts within 30 days; document a severity-based remediation SLA.</t>
  </si>
  <si>
    <t xml:space="preserve">2026-07-05</t>
  </si>
  <si>
    <t xml:space="preserve">Incident Response Plan &amp; Testing</t>
  </si>
  <si>
    <t xml:space="preserve">Incident Response</t>
  </si>
  <si>
    <t xml:space="preserve">NIST IR-1, IR-4 | SOC 2 CC7.3, CC7.4 | ISO A.5.24, A.5.26</t>
  </si>
  <si>
    <t xml:space="preserve">A written IR plan exists and was updated 4 months ago, but no tabletop exercise or simulation has been conducted in the past 12 months to validate it.</t>
  </si>
  <si>
    <t xml:space="preserve">F-09</t>
  </si>
  <si>
    <t xml:space="preserve">Conduct a tabletop exercise within the next quarter and establish a recurring semi-annual testing cadence.</t>
  </si>
  <si>
    <t xml:space="preserve">2026-09-01</t>
  </si>
  <si>
    <t xml:space="preserve">Change Management Process</t>
  </si>
  <si>
    <t xml:space="preserve">Change Management</t>
  </si>
  <si>
    <t xml:space="preserve">NIST CM-3 | SOC 2 CC8.1 | ISO A.8.32</t>
  </si>
  <si>
    <t xml:space="preserve">Sample of 10 production deployments shows 6 had documented peer review/approval prior to deploy; 4 were merged and deployed directly by the author with no second approver.</t>
  </si>
  <si>
    <t xml:space="preserve">F-03</t>
  </si>
  <si>
    <t xml:space="preserve">Enforce mandatory second-approver review via branch protection rules on the production deployment pipeline; no exceptions.</t>
  </si>
  <si>
    <t xml:space="preserve">Backup &amp; Recovery Testing</t>
  </si>
  <si>
    <t xml:space="preserve">Business Continuity</t>
  </si>
  <si>
    <t xml:space="preserve">NIST CP-9, CP-10 | SOC 2 CC7.5, CC9.1 | ISO A.8.13</t>
  </si>
  <si>
    <t xml:space="preserve">Automated daily backups confirmed via configuration export, but no restoration test has been performed or documented in the past 12 months.</t>
  </si>
  <si>
    <t xml:space="preserve">F-10</t>
  </si>
  <si>
    <t xml:space="preserve">Perform and document a full backup restoration test within 60 days; establish an annual recurring test requirement.</t>
  </si>
  <si>
    <t xml:space="preserve">2026-08-15</t>
  </si>
  <si>
    <t xml:space="preserve">Third-Party / Vendor Risk Management</t>
  </si>
  <si>
    <t xml:space="preserve">Vendor Risk</t>
  </si>
  <si>
    <t xml:space="preserve">NIST SA-9, SR-2 | SOC 2 CC9.2 | ISO A.5.19, A.5.20</t>
  </si>
  <si>
    <t xml:space="preserve">No formal vendor risk assessment process exists; 3 of 6 sampled critical vendors (including the primary cloud hosting provider) have no documented security review on file.</t>
  </si>
  <si>
    <t xml:space="preserve">F-01</t>
  </si>
  <si>
    <t xml:space="preserve">Establish a vendor risk assessment process (e.g., security questionnaire + SOC 2/ISO certificate review) and complete reviews for all critical vendors within 45 days.</t>
  </si>
  <si>
    <t xml:space="preserve">2026-08-05</t>
  </si>
  <si>
    <t xml:space="preserve">Risk Assessment Process</t>
  </si>
  <si>
    <t xml:space="preserve">Risk Management</t>
  </si>
  <si>
    <t xml:space="preserve">NIST RA-3 | SOC 2 CC3.1, CC3.2 | ISO A.5.1, Clause 6.1.2</t>
  </si>
  <si>
    <t xml:space="preserve">An informal risk discussion occurs at quarterly leadership meetings, but no documented risk register, scoring methodology, or formal review cadence exists.</t>
  </si>
  <si>
    <t xml:space="preserve">F-07</t>
  </si>
  <si>
    <t xml:space="preserve">Formalize a documented risk register with a defined scoring methodology, reviewed at a fixed quarterly cadence.</t>
  </si>
  <si>
    <t xml:space="preserve">2026-08-20</t>
  </si>
  <si>
    <t xml:space="preserve">Security Awareness Training</t>
  </si>
  <si>
    <t xml:space="preserve">People Security</t>
  </si>
  <si>
    <t xml:space="preserve">NIST AT-2 | SOC 2 CC1.4, CC2.2 | ISO A.6.3</t>
  </si>
  <si>
    <t xml:space="preserve">Training completion records show 100% of current staff (38 of 38) completed annual security awareness training, including phishing simulation, within the past 12 months.</t>
  </si>
  <si>
    <t xml:space="preserve">HR Lead</t>
  </si>
  <si>
    <t xml:space="preserve">Data Classification &amp; Handling</t>
  </si>
  <si>
    <t xml:space="preserve">NIST RA-2 | SOC 2 C1.1 | ISO A.5.12, A.5.13</t>
  </si>
  <si>
    <t xml:space="preserve">No documented data classification scheme exists; engineering and support staff confirmed in interviews they are not aware of any formal sensitivity tiers for customer data.</t>
  </si>
  <si>
    <t xml:space="preserve">F-04</t>
  </si>
  <si>
    <t xml:space="preserve">Develop a data classification scheme (e.g., Public/Internal/Confidential/Restricted) and communicate handling requirements to all staff.</t>
  </si>
  <si>
    <t xml:space="preserve">2026-08-10</t>
  </si>
  <si>
    <t xml:space="preserve">Physical &amp; Environmental Access Controls</t>
  </si>
  <si>
    <t xml:space="preserve">Physical Security</t>
  </si>
  <si>
    <t xml:space="preserve">NIST PE-3 | SOC 2 CC6.4 | ISO A.7.2, A.7.4</t>
  </si>
  <si>
    <t xml:space="preserve">Not Applicable</t>
  </si>
  <si>
    <t xml:space="preserve">Vantage is fully cloud-native with no company-controlled data center or office housing production infrastructure; scoped out of this audit cycle.</t>
  </si>
  <si>
    <t xml:space="preserve">No action required; reassess applicability if physical infrastructure is introduced.</t>
  </si>
  <si>
    <t xml:space="preserve">N/A</t>
  </si>
  <si>
    <t xml:space="preserve">Configuration &amp; Baseline Management</t>
  </si>
  <si>
    <t xml:space="preserve">Configuration Management</t>
  </si>
  <si>
    <t xml:space="preserve">NIST CM-2, CM-6 | SOC 2 CC8.1 | ISO A.8.9</t>
  </si>
  <si>
    <t xml:space="preserve">Infrastructure-as-code repository confirms standardized baseline templates for all production resources; configuration drift detection tooling confirmed active via dashboard screenshot.</t>
  </si>
  <si>
    <t xml:space="preserve">Audit Summary Statistics</t>
  </si>
  <si>
    <t xml:space="preserve">Count</t>
  </si>
  <si>
    <t xml:space="preserve">Severity (open findings)</t>
  </si>
  <si>
    <t xml:space="preserve">Low</t>
  </si>
  <si>
    <t xml:space="preserve">Overall Compliance Rate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</si>
</sst>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5F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9"/>
      <color rgb="FF555555"/>
      <name val="Arial"/>
      <family val="0"/>
      <charset val="1"/>
    </font>
    <font>
      <b val="true"/>
      <sz val="10"/>
      <color rgb="FF856404"/>
      <name val="Arial"/>
      <family val="0"/>
      <charset val="1"/>
    </font>
    <font>
      <b val="true"/>
      <sz val="10"/>
      <color rgb="FF7A3210"/>
      <name val="Arial"/>
      <family val="0"/>
      <charset val="1"/>
    </font>
    <font>
      <b val="true"/>
      <sz val="10"/>
      <color rgb="FF721C24"/>
      <name val="Arial"/>
      <family val="0"/>
      <charset val="1"/>
    </font>
    <font>
      <b val="true"/>
      <sz val="10"/>
      <color rgb="FF155724"/>
      <name val="Arial"/>
      <family val="0"/>
      <charset val="1"/>
    </font>
    <font>
      <b val="true"/>
      <sz val="10"/>
      <color rgb="FF5F5E5A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5F"/>
        <bgColor rgb="FF155724"/>
      </patternFill>
    </fill>
    <fill>
      <patternFill patternType="solid">
        <fgColor rgb="FFFFF3CD"/>
        <bgColor rgb="FFF1EFE8"/>
      </patternFill>
    </fill>
    <fill>
      <patternFill patternType="solid">
        <fgColor rgb="FFFBE1D5"/>
        <bgColor rgb="FFF8D7DA"/>
      </patternFill>
    </fill>
    <fill>
      <patternFill patternType="solid">
        <fgColor rgb="FFF8D7DA"/>
        <bgColor rgb="FFFBE1D5"/>
      </patternFill>
    </fill>
    <fill>
      <patternFill patternType="solid">
        <fgColor rgb="FFD4EDDA"/>
        <bgColor rgb="FFF1EFE8"/>
      </patternFill>
    </fill>
    <fill>
      <patternFill patternType="solid">
        <fgColor rgb="FFF1EFE8"/>
        <bgColor rgb="FFFFF3C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21C24"/>
      <rgbColor rgb="FF008000"/>
      <rgbColor rgb="FF000080"/>
      <rgbColor rgb="FF856404"/>
      <rgbColor rgb="FF800080"/>
      <rgbColor rgb="FF008080"/>
      <rgbColor rgb="FFBFBFBF"/>
      <rgbColor rgb="FF808080"/>
      <rgbColor rgb="FF9999FF"/>
      <rgbColor rgb="FF993366"/>
      <rgbColor rgb="FFFFF3CD"/>
      <rgbColor rgb="FFF1EF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DDA"/>
      <rgbColor rgb="FFFBE1D5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5F5E5A"/>
      <rgbColor rgb="FF969696"/>
      <rgbColor rgb="FF1F4E5F"/>
      <rgbColor rgb="FF339966"/>
      <rgbColor rgb="FF155724"/>
      <rgbColor rgb="FF333300"/>
      <rgbColor rgb="FF7A3210"/>
      <rgbColor rgb="FF993366"/>
      <rgbColor rgb="FF333399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4" min="4" style="0" width="24"/>
    <col collapsed="false" customWidth="true" hidden="false" outlineLevel="0" max="5" min="5" style="0" width="15"/>
    <col collapsed="false" customWidth="true" hidden="false" outlineLevel="0" max="6" min="6" style="0" width="38"/>
    <col collapsed="false" customWidth="true" hidden="false" outlineLevel="0" max="7" min="7" style="0" width="9"/>
    <col collapsed="false" customWidth="true" hidden="false" outlineLevel="0" max="8" min="8" style="0" width="10"/>
    <col collapsed="false" customWidth="true" hidden="false" outlineLevel="0" max="9" min="9" style="0" width="32"/>
    <col collapsed="false" customWidth="true" hidden="false" outlineLevel="0" max="10" min="10" style="0" width="18"/>
    <col collapsed="false" customWidth="true" hidden="false" outlineLevel="0" max="11" min="11" style="0" width="11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24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customFormat="false" ht="57.75" hidden="false" customHeight="true" outlineLevel="0" collapsed="false">
      <c r="A5" s="4" t="n">
        <v>1</v>
      </c>
      <c r="B5" s="5" t="s">
        <v>13</v>
      </c>
      <c r="C5" s="6" t="s">
        <v>14</v>
      </c>
      <c r="D5" s="7" t="s">
        <v>15</v>
      </c>
      <c r="E5" s="8" t="s">
        <v>16</v>
      </c>
      <c r="F5" s="9" t="s">
        <v>17</v>
      </c>
      <c r="G5" s="4" t="s">
        <v>18</v>
      </c>
      <c r="H5" s="10" t="s">
        <v>19</v>
      </c>
      <c r="I5" s="9" t="s">
        <v>20</v>
      </c>
      <c r="J5" s="6" t="s">
        <v>21</v>
      </c>
      <c r="K5" s="4" t="s">
        <v>22</v>
      </c>
    </row>
    <row r="6" customFormat="false" ht="57.75" hidden="false" customHeight="true" outlineLevel="0" collapsed="false">
      <c r="A6" s="4" t="n">
        <v>2</v>
      </c>
      <c r="B6" s="5" t="s">
        <v>23</v>
      </c>
      <c r="C6" s="6" t="s">
        <v>14</v>
      </c>
      <c r="D6" s="7" t="s">
        <v>24</v>
      </c>
      <c r="E6" s="11" t="s">
        <v>25</v>
      </c>
      <c r="F6" s="9" t="s">
        <v>26</v>
      </c>
      <c r="G6" s="4" t="s">
        <v>27</v>
      </c>
      <c r="H6" s="10" t="s">
        <v>19</v>
      </c>
      <c r="I6" s="9" t="s">
        <v>28</v>
      </c>
      <c r="J6" s="6" t="s">
        <v>21</v>
      </c>
      <c r="K6" s="4" t="s">
        <v>29</v>
      </c>
    </row>
    <row r="7" customFormat="false" ht="57.75" hidden="false" customHeight="true" outlineLevel="0" collapsed="false">
      <c r="A7" s="4" t="n">
        <v>3</v>
      </c>
      <c r="B7" s="5" t="s">
        <v>30</v>
      </c>
      <c r="C7" s="6" t="s">
        <v>14</v>
      </c>
      <c r="D7" s="7" t="s">
        <v>31</v>
      </c>
      <c r="E7" s="12" t="s">
        <v>32</v>
      </c>
      <c r="F7" s="9" t="s">
        <v>33</v>
      </c>
      <c r="G7" s="4" t="s">
        <v>34</v>
      </c>
      <c r="H7" s="4" t="s">
        <v>34</v>
      </c>
      <c r="I7" s="9" t="s">
        <v>35</v>
      </c>
      <c r="J7" s="6" t="s">
        <v>36</v>
      </c>
      <c r="K7" s="4" t="s">
        <v>34</v>
      </c>
    </row>
    <row r="8" customFormat="false" ht="57.75" hidden="false" customHeight="true" outlineLevel="0" collapsed="false">
      <c r="A8" s="4" t="n">
        <v>4</v>
      </c>
      <c r="B8" s="5" t="s">
        <v>37</v>
      </c>
      <c r="C8" s="6" t="s">
        <v>38</v>
      </c>
      <c r="D8" s="7" t="s">
        <v>39</v>
      </c>
      <c r="E8" s="12" t="s">
        <v>32</v>
      </c>
      <c r="F8" s="9" t="s">
        <v>40</v>
      </c>
      <c r="G8" s="4" t="s">
        <v>34</v>
      </c>
      <c r="H8" s="4" t="s">
        <v>34</v>
      </c>
      <c r="I8" s="9" t="s">
        <v>35</v>
      </c>
      <c r="J8" s="6" t="s">
        <v>36</v>
      </c>
      <c r="K8" s="4" t="s">
        <v>34</v>
      </c>
    </row>
    <row r="9" customFormat="false" ht="57.75" hidden="false" customHeight="true" outlineLevel="0" collapsed="false">
      <c r="A9" s="4" t="n">
        <v>5</v>
      </c>
      <c r="B9" s="5" t="s">
        <v>41</v>
      </c>
      <c r="C9" s="6" t="s">
        <v>42</v>
      </c>
      <c r="D9" s="7" t="s">
        <v>43</v>
      </c>
      <c r="E9" s="8" t="s">
        <v>16</v>
      </c>
      <c r="F9" s="9" t="s">
        <v>44</v>
      </c>
      <c r="G9" s="4" t="s">
        <v>45</v>
      </c>
      <c r="H9" s="8" t="s">
        <v>46</v>
      </c>
      <c r="I9" s="9" t="s">
        <v>47</v>
      </c>
      <c r="J9" s="6" t="s">
        <v>48</v>
      </c>
      <c r="K9" s="4" t="s">
        <v>49</v>
      </c>
    </row>
    <row r="10" customFormat="false" ht="57.75" hidden="false" customHeight="true" outlineLevel="0" collapsed="false">
      <c r="A10" s="4" t="n">
        <v>6</v>
      </c>
      <c r="B10" s="5" t="s">
        <v>50</v>
      </c>
      <c r="C10" s="6" t="s">
        <v>42</v>
      </c>
      <c r="D10" s="7" t="s">
        <v>51</v>
      </c>
      <c r="E10" s="11" t="s">
        <v>25</v>
      </c>
      <c r="F10" s="9" t="s">
        <v>52</v>
      </c>
      <c r="G10" s="4" t="s">
        <v>53</v>
      </c>
      <c r="H10" s="11" t="s">
        <v>54</v>
      </c>
      <c r="I10" s="9" t="s">
        <v>55</v>
      </c>
      <c r="J10" s="6" t="s">
        <v>36</v>
      </c>
      <c r="K10" s="4" t="s">
        <v>56</v>
      </c>
    </row>
    <row r="11" customFormat="false" ht="57.75" hidden="false" customHeight="true" outlineLevel="0" collapsed="false">
      <c r="A11" s="4" t="n">
        <v>7</v>
      </c>
      <c r="B11" s="5" t="s">
        <v>57</v>
      </c>
      <c r="C11" s="6" t="s">
        <v>58</v>
      </c>
      <c r="D11" s="7" t="s">
        <v>59</v>
      </c>
      <c r="E11" s="8" t="s">
        <v>16</v>
      </c>
      <c r="F11" s="9" t="s">
        <v>60</v>
      </c>
      <c r="G11" s="4" t="s">
        <v>61</v>
      </c>
      <c r="H11" s="8" t="s">
        <v>46</v>
      </c>
      <c r="I11" s="9" t="s">
        <v>62</v>
      </c>
      <c r="J11" s="6" t="s">
        <v>48</v>
      </c>
      <c r="K11" s="4" t="s">
        <v>63</v>
      </c>
    </row>
    <row r="12" customFormat="false" ht="57.75" hidden="false" customHeight="true" outlineLevel="0" collapsed="false">
      <c r="A12" s="4" t="n">
        <v>8</v>
      </c>
      <c r="B12" s="5" t="s">
        <v>64</v>
      </c>
      <c r="C12" s="6" t="s">
        <v>65</v>
      </c>
      <c r="D12" s="7" t="s">
        <v>66</v>
      </c>
      <c r="E12" s="11" t="s">
        <v>25</v>
      </c>
      <c r="F12" s="9" t="s">
        <v>67</v>
      </c>
      <c r="G12" s="4" t="s">
        <v>68</v>
      </c>
      <c r="H12" s="11" t="s">
        <v>54</v>
      </c>
      <c r="I12" s="9" t="s">
        <v>69</v>
      </c>
      <c r="J12" s="6" t="s">
        <v>36</v>
      </c>
      <c r="K12" s="4" t="s">
        <v>29</v>
      </c>
    </row>
    <row r="13" customFormat="false" ht="57.75" hidden="false" customHeight="true" outlineLevel="0" collapsed="false">
      <c r="A13" s="4" t="n">
        <v>9</v>
      </c>
      <c r="B13" s="5" t="s">
        <v>70</v>
      </c>
      <c r="C13" s="6" t="s">
        <v>71</v>
      </c>
      <c r="D13" s="7" t="s">
        <v>72</v>
      </c>
      <c r="E13" s="8" t="s">
        <v>16</v>
      </c>
      <c r="F13" s="9" t="s">
        <v>73</v>
      </c>
      <c r="G13" s="4" t="s">
        <v>74</v>
      </c>
      <c r="H13" s="8" t="s">
        <v>46</v>
      </c>
      <c r="I13" s="9" t="s">
        <v>75</v>
      </c>
      <c r="J13" s="6" t="s">
        <v>36</v>
      </c>
      <c r="K13" s="4" t="s">
        <v>76</v>
      </c>
    </row>
    <row r="14" customFormat="false" ht="57.75" hidden="false" customHeight="true" outlineLevel="0" collapsed="false">
      <c r="A14" s="4" t="n">
        <v>10</v>
      </c>
      <c r="B14" s="5" t="s">
        <v>77</v>
      </c>
      <c r="C14" s="6" t="s">
        <v>78</v>
      </c>
      <c r="D14" s="7" t="s">
        <v>79</v>
      </c>
      <c r="E14" s="11" t="s">
        <v>25</v>
      </c>
      <c r="F14" s="9" t="s">
        <v>80</v>
      </c>
      <c r="G14" s="4" t="s">
        <v>81</v>
      </c>
      <c r="H14" s="11" t="s">
        <v>54</v>
      </c>
      <c r="I14" s="9" t="s">
        <v>82</v>
      </c>
      <c r="J14" s="6" t="s">
        <v>48</v>
      </c>
      <c r="K14" s="4" t="s">
        <v>83</v>
      </c>
    </row>
    <row r="15" customFormat="false" ht="57.75" hidden="false" customHeight="true" outlineLevel="0" collapsed="false">
      <c r="A15" s="4" t="n">
        <v>11</v>
      </c>
      <c r="B15" s="5" t="s">
        <v>84</v>
      </c>
      <c r="C15" s="6" t="s">
        <v>85</v>
      </c>
      <c r="D15" s="7" t="s">
        <v>86</v>
      </c>
      <c r="E15" s="8" t="s">
        <v>16</v>
      </c>
      <c r="F15" s="9" t="s">
        <v>87</v>
      </c>
      <c r="G15" s="4" t="s">
        <v>88</v>
      </c>
      <c r="H15" s="8" t="s">
        <v>46</v>
      </c>
      <c r="I15" s="9" t="s">
        <v>89</v>
      </c>
      <c r="J15" s="6" t="s">
        <v>48</v>
      </c>
      <c r="K15" s="4" t="s">
        <v>90</v>
      </c>
    </row>
    <row r="16" customFormat="false" ht="57.75" hidden="false" customHeight="true" outlineLevel="0" collapsed="false">
      <c r="A16" s="4" t="n">
        <v>12</v>
      </c>
      <c r="B16" s="5" t="s">
        <v>91</v>
      </c>
      <c r="C16" s="6" t="s">
        <v>92</v>
      </c>
      <c r="D16" s="7" t="s">
        <v>93</v>
      </c>
      <c r="E16" s="12" t="s">
        <v>32</v>
      </c>
      <c r="F16" s="9" t="s">
        <v>94</v>
      </c>
      <c r="G16" s="4" t="s">
        <v>34</v>
      </c>
      <c r="H16" s="4" t="s">
        <v>34</v>
      </c>
      <c r="I16" s="9" t="s">
        <v>35</v>
      </c>
      <c r="J16" s="6" t="s">
        <v>95</v>
      </c>
      <c r="K16" s="4" t="s">
        <v>34</v>
      </c>
    </row>
    <row r="17" customFormat="false" ht="57.75" hidden="false" customHeight="true" outlineLevel="0" collapsed="false">
      <c r="A17" s="4" t="n">
        <v>13</v>
      </c>
      <c r="B17" s="5" t="s">
        <v>96</v>
      </c>
      <c r="C17" s="6" t="s">
        <v>38</v>
      </c>
      <c r="D17" s="7" t="s">
        <v>97</v>
      </c>
      <c r="E17" s="11" t="s">
        <v>25</v>
      </c>
      <c r="F17" s="9" t="s">
        <v>98</v>
      </c>
      <c r="G17" s="4" t="s">
        <v>99</v>
      </c>
      <c r="H17" s="10" t="s">
        <v>19</v>
      </c>
      <c r="I17" s="9" t="s">
        <v>100</v>
      </c>
      <c r="J17" s="6" t="s">
        <v>48</v>
      </c>
      <c r="K17" s="4" t="s">
        <v>101</v>
      </c>
    </row>
    <row r="18" customFormat="false" ht="57.75" hidden="false" customHeight="true" outlineLevel="0" collapsed="false">
      <c r="A18" s="4" t="n">
        <v>14</v>
      </c>
      <c r="B18" s="5" t="s">
        <v>102</v>
      </c>
      <c r="C18" s="6" t="s">
        <v>103</v>
      </c>
      <c r="D18" s="7" t="s">
        <v>104</v>
      </c>
      <c r="E18" s="13" t="s">
        <v>105</v>
      </c>
      <c r="F18" s="9" t="s">
        <v>106</v>
      </c>
      <c r="G18" s="4" t="s">
        <v>34</v>
      </c>
      <c r="H18" s="4" t="s">
        <v>34</v>
      </c>
      <c r="I18" s="9" t="s">
        <v>107</v>
      </c>
      <c r="J18" s="6" t="s">
        <v>108</v>
      </c>
      <c r="K18" s="4" t="s">
        <v>34</v>
      </c>
    </row>
    <row r="19" customFormat="false" ht="57.75" hidden="false" customHeight="true" outlineLevel="0" collapsed="false">
      <c r="A19" s="4" t="n">
        <v>15</v>
      </c>
      <c r="B19" s="5" t="s">
        <v>109</v>
      </c>
      <c r="C19" s="6" t="s">
        <v>110</v>
      </c>
      <c r="D19" s="7" t="s">
        <v>111</v>
      </c>
      <c r="E19" s="12" t="s">
        <v>32</v>
      </c>
      <c r="F19" s="9" t="s">
        <v>112</v>
      </c>
      <c r="G19" s="4" t="s">
        <v>34</v>
      </c>
      <c r="H19" s="4" t="s">
        <v>34</v>
      </c>
      <c r="I19" s="9" t="s">
        <v>35</v>
      </c>
      <c r="J19" s="6" t="s">
        <v>36</v>
      </c>
      <c r="K19" s="4" t="s">
        <v>34</v>
      </c>
    </row>
  </sheetData>
  <mergeCells count="2">
    <mergeCell ref="A1:K1"/>
    <mergeCell ref="A2:K2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4"/>
  </cols>
  <sheetData>
    <row r="1" customFormat="false" ht="19.7" hidden="false" customHeight="false" outlineLevel="0" collapsed="false">
      <c r="A1" s="1" t="s">
        <v>113</v>
      </c>
      <c r="B1" s="1"/>
      <c r="C1" s="1"/>
      <c r="D1" s="1"/>
    </row>
    <row r="3" customFormat="false" ht="15" hidden="false" customHeight="false" outlineLevel="0" collapsed="false">
      <c r="A3" s="14" t="s">
        <v>6</v>
      </c>
      <c r="B3" s="14" t="s">
        <v>114</v>
      </c>
    </row>
    <row r="4" customFormat="false" ht="15" hidden="false" customHeight="false" outlineLevel="0" collapsed="false">
      <c r="A4" s="15" t="s">
        <v>32</v>
      </c>
      <c r="B4" s="16" t="n">
        <f aca="false">COUNTIF('Audit Checklist'!E5:E19,"Compliant")</f>
        <v>4</v>
      </c>
    </row>
    <row r="5" customFormat="false" ht="15" hidden="false" customHeight="false" outlineLevel="0" collapsed="false">
      <c r="A5" s="17" t="s">
        <v>16</v>
      </c>
      <c r="B5" s="16" t="n">
        <f aca="false">COUNTIF('Audit Checklist'!E5:E19,"Partially Implemented")</f>
        <v>5</v>
      </c>
    </row>
    <row r="6" customFormat="false" ht="15" hidden="false" customHeight="false" outlineLevel="0" collapsed="false">
      <c r="A6" s="18" t="s">
        <v>25</v>
      </c>
      <c r="B6" s="16" t="n">
        <f aca="false">COUNTIF('Audit Checklist'!E5:E19,"Non-Compliant")</f>
        <v>5</v>
      </c>
    </row>
    <row r="7" customFormat="false" ht="15" hidden="false" customHeight="false" outlineLevel="0" collapsed="false">
      <c r="A7" s="19" t="s">
        <v>105</v>
      </c>
      <c r="B7" s="16" t="n">
        <f aca="false">COUNTIF('Audit Checklist'!E5:E19,"Not Applicable")</f>
        <v>1</v>
      </c>
    </row>
    <row r="9" customFormat="false" ht="15" hidden="false" customHeight="false" outlineLevel="0" collapsed="false">
      <c r="A9" s="14" t="s">
        <v>115</v>
      </c>
      <c r="B9" s="14" t="s">
        <v>114</v>
      </c>
    </row>
    <row r="10" customFormat="false" ht="15" hidden="false" customHeight="false" outlineLevel="0" collapsed="false">
      <c r="A10" s="18" t="s">
        <v>54</v>
      </c>
      <c r="B10" s="16" t="n">
        <f aca="false">COUNTIF('Audit Checklist'!H5:H19,"Critical")</f>
        <v>3</v>
      </c>
    </row>
    <row r="11" customFormat="false" ht="15" hidden="false" customHeight="false" outlineLevel="0" collapsed="false">
      <c r="A11" s="20" t="s">
        <v>19</v>
      </c>
      <c r="B11" s="16" t="n">
        <f aca="false">COUNTIF('Audit Checklist'!H5:H19,"High")</f>
        <v>3</v>
      </c>
    </row>
    <row r="12" customFormat="false" ht="15" hidden="false" customHeight="false" outlineLevel="0" collapsed="false">
      <c r="A12" s="17" t="s">
        <v>46</v>
      </c>
      <c r="B12" s="16" t="n">
        <f aca="false">COUNTIF('Audit Checklist'!H5:H19,"Medium")</f>
        <v>4</v>
      </c>
    </row>
    <row r="13" customFormat="false" ht="15" hidden="false" customHeight="false" outlineLevel="0" collapsed="false">
      <c r="A13" s="15" t="s">
        <v>116</v>
      </c>
      <c r="B13" s="16" t="n">
        <f aca="false">COUNTIF('Audit Checklist'!H5:H19,"Low")</f>
        <v>0</v>
      </c>
    </row>
    <row r="15" customFormat="false" ht="15" hidden="false" customHeight="false" outlineLevel="0" collapsed="false">
      <c r="A15" s="21" t="s">
        <v>117</v>
      </c>
      <c r="B15" s="22" t="n">
        <f aca="false">COUNTIF('Audit Checklist'!E5:E19,"Compliant")/(COUNTA('Audit Checklist'!E5:E19)-COUNTIF('Audit Checklist'!E5:E19,"Not Applicable"))</f>
        <v>0.285714285714286</v>
      </c>
    </row>
  </sheetData>
  <mergeCells count="1">
    <mergeCell ref="A1:D1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2026-06-21T20:07:05Z</dcterms:created>
  <dc:creator>openpyxl</dc:creator>
  <dc:description/>
  <dc:language>en-US</dc:language>
  <cp:lastModifiedBy/>
  <dcterms:modified xsi:type="dcterms:W3CDTF">2026-06-21T20:07:06Z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